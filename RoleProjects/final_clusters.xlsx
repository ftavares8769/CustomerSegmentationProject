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ancisco\Desktop\RoleProjects\"/>
    </mc:Choice>
  </mc:AlternateContent>
  <xr:revisionPtr revIDLastSave="0" documentId="13_ncr:1_{919CFE86-9E91-4565-A042-96FA4C425F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K15" i="1"/>
  <c r="J15" i="1"/>
  <c r="I15" i="1"/>
  <c r="H15" i="1"/>
  <c r="K6" i="1"/>
  <c r="J6" i="1"/>
  <c r="I6" i="1"/>
  <c r="H6" i="1"/>
  <c r="H1" i="1"/>
  <c r="L15" i="1" l="1"/>
  <c r="H7" i="1" s="1"/>
  <c r="K7" i="1" l="1"/>
  <c r="J7" i="1"/>
  <c r="I7" i="1"/>
</calcChain>
</file>

<file path=xl/sharedStrings.xml><?xml version="1.0" encoding="utf-8"?>
<sst xmlns="http://schemas.openxmlformats.org/spreadsheetml/2006/main" count="77" uniqueCount="68">
  <si>
    <t>AcceptedCmp1</t>
  </si>
  <si>
    <t>AcceptedCmp2</t>
  </si>
  <si>
    <t>AcceptedCmp3</t>
  </si>
  <si>
    <t>AcceptedCmp4</t>
  </si>
  <si>
    <t>AcceptedCmp5</t>
  </si>
  <si>
    <t>Age</t>
  </si>
  <si>
    <t>Complain</t>
  </si>
  <si>
    <t>ID</t>
  </si>
  <si>
    <t>Income</t>
  </si>
  <si>
    <t>Kidhome</t>
  </si>
  <si>
    <t>MntFishProducts</t>
  </si>
  <si>
    <t>MntFruits</t>
  </si>
  <si>
    <t>MntGoldProds</t>
  </si>
  <si>
    <t>MntMeatProducts</t>
  </si>
  <si>
    <t>MntSweetProducts</t>
  </si>
  <si>
    <t>MntWines</t>
  </si>
  <si>
    <t>NumCatalogPurchases</t>
  </si>
  <si>
    <t>NumDealsPurchases</t>
  </si>
  <si>
    <t>NumStorePurchases</t>
  </si>
  <si>
    <t>NumWebPurchases</t>
  </si>
  <si>
    <t>NumWebVisitsMonth</t>
  </si>
  <si>
    <t>Recency</t>
  </si>
  <si>
    <t>Response</t>
  </si>
  <si>
    <t>Teenhome</t>
  </si>
  <si>
    <t>Tenure_Days</t>
  </si>
  <si>
    <t>Z_CostContact</t>
  </si>
  <si>
    <t>Z_Revenue</t>
  </si>
  <si>
    <t>Education</t>
  </si>
  <si>
    <t>Graduation</t>
  </si>
  <si>
    <t>Marital_Status</t>
  </si>
  <si>
    <t>Married</t>
  </si>
  <si>
    <t>Dt_Customer</t>
  </si>
  <si>
    <t>Column1</t>
  </si>
  <si>
    <t>0</t>
  </si>
  <si>
    <t>1</t>
  </si>
  <si>
    <t>2</t>
  </si>
  <si>
    <t>3</t>
  </si>
  <si>
    <t>Clusters Count: 146, 998, 581, 491</t>
  </si>
  <si>
    <t>High Campaign acceptance</t>
  </si>
  <si>
    <t>High income</t>
  </si>
  <si>
    <t>No children</t>
  </si>
  <si>
    <t>High meat + wine consumption</t>
  </si>
  <si>
    <t>Mixed in-store+web but higher web</t>
  </si>
  <si>
    <t>High response</t>
  </si>
  <si>
    <t>Low campaign acceptance</t>
  </si>
  <si>
    <t>Low income</t>
  </si>
  <si>
    <t>Low response</t>
  </si>
  <si>
    <t>Child + teen home</t>
  </si>
  <si>
    <t>High purchases across the board</t>
  </si>
  <si>
    <t>Medium deal purchase</t>
  </si>
  <si>
    <t>High webvisits</t>
  </si>
  <si>
    <t>Teen home + some kids</t>
  </si>
  <si>
    <t>Older mid income</t>
  </si>
  <si>
    <t>Low-mid spenders</t>
  </si>
  <si>
    <t>Low spenders</t>
  </si>
  <si>
    <t>Avid deal shopper</t>
  </si>
  <si>
    <t>High web visits</t>
  </si>
  <si>
    <t>No response</t>
  </si>
  <si>
    <t>Higher income</t>
  </si>
  <si>
    <t>Low teen mostly couple</t>
  </si>
  <si>
    <t>Foodie high spender</t>
  </si>
  <si>
    <t>low deal purchase</t>
  </si>
  <si>
    <t>In-store purchasers</t>
  </si>
  <si>
    <t>Total Spending</t>
  </si>
  <si>
    <t>Spending per cateogry</t>
  </si>
  <si>
    <t>Ratio of Category Count</t>
  </si>
  <si>
    <t>Ratio of Spending per Count</t>
  </si>
  <si>
    <t>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</si>
</sst>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4E373-2EAE-4082-9EAD-4B6238BAE089}" name="Table1" displayName="Table1" ref="A1:E1048576" totalsRowShown="0" headerRowDxfId="0">
  <autoFilter ref="A1:E1048576" xr:uid="{B1C4E373-2EAE-4082-9EAD-4B6238BAE089}">
    <filterColumn colId="0">
      <filters blank="1">
        <filter val="AcceptedCmp1"/>
        <filter val="AcceptedCmp2"/>
        <filter val="AcceptedCmp3"/>
        <filter val="AcceptedCmp4"/>
        <filter val="AcceptedCmp5"/>
        <filter val="Age"/>
        <filter val="Complain"/>
        <filter val="Dt_Customer"/>
        <filter val="Income"/>
        <filter val="Kidhome"/>
        <filter val="MntFishProducts"/>
        <filter val="MntFruits"/>
        <filter val="MntGoldProds"/>
        <filter val="MntMeatProducts"/>
        <filter val="MntSweetProducts"/>
        <filter val="MntWines"/>
        <filter val="NumCatalogPurchases"/>
        <filter val="NumDealsPurchases"/>
        <filter val="NumStorePurchases"/>
        <filter val="NumWebPurchases"/>
        <filter val="NumWebVisitsMonth"/>
        <filter val="Recency"/>
        <filter val="Response"/>
        <filter val="Teenhome"/>
        <filter val="Tenure_Days"/>
        <filter val="Z_CostContact"/>
        <filter val="Z_Revenue"/>
      </filters>
    </filterColumn>
  </autoFilter>
  <tableColumns count="5">
    <tableColumn id="1" xr3:uid="{11C34C55-3469-4CB9-B8F0-EB43AE567BB3}" name="Column1"/>
    <tableColumn id="2" xr3:uid="{46221489-BFE4-479D-AADA-A72D804E43F3}" name="0"/>
    <tableColumn id="3" xr3:uid="{6C426D00-333C-4CC9-BC1E-392F31DED1F5}" name="1"/>
    <tableColumn id="4" xr3:uid="{6FFEB41C-50F2-4366-A9CD-9AD65F747F5D}" name="2"/>
    <tableColumn id="5" xr3:uid="{A9799686-2E0A-4023-AEF5-C66B16DD806E}" name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F4" zoomScale="128" workbookViewId="0">
      <selection activeCell="G23" sqref="G23"/>
    </sheetView>
  </sheetViews>
  <sheetFormatPr defaultRowHeight="14.5" x14ac:dyDescent="0.35"/>
  <cols>
    <col min="1" max="1" width="19.7265625" bestFit="1" customWidth="1"/>
    <col min="2" max="5" width="17.81640625" bestFit="1" customWidth="1"/>
    <col min="7" max="7" width="30.453125" bestFit="1" customWidth="1"/>
    <col min="8" max="10" width="23" bestFit="1" customWidth="1"/>
    <col min="11" max="11" width="22.90625" bestFit="1" customWidth="1"/>
    <col min="12" max="12" width="14.81640625" bestFit="1" customWidth="1"/>
  </cols>
  <sheetData>
    <row r="1" spans="1:12" x14ac:dyDescent="0.35">
      <c r="A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G1" t="s">
        <v>37</v>
      </c>
      <c r="H1">
        <f>SUM(146,998,581,491)</f>
        <v>2216</v>
      </c>
    </row>
    <row r="2" spans="1:12" x14ac:dyDescent="0.35">
      <c r="A2" s="1" t="s">
        <v>0</v>
      </c>
      <c r="B2">
        <v>0.58904109589041098</v>
      </c>
      <c r="C2">
        <v>0</v>
      </c>
      <c r="D2">
        <v>2.7538726333907061E-2</v>
      </c>
      <c r="E2">
        <v>8.1466395112016296E-2</v>
      </c>
    </row>
    <row r="3" spans="1:12" x14ac:dyDescent="0.35">
      <c r="A3" s="1" t="s">
        <v>1</v>
      </c>
      <c r="B3">
        <v>0.19178082191780821</v>
      </c>
      <c r="C3">
        <v>2.004008016032064E-3</v>
      </c>
      <c r="D3">
        <v>0</v>
      </c>
      <c r="E3">
        <v>0</v>
      </c>
    </row>
    <row r="4" spans="1:12" x14ac:dyDescent="0.35">
      <c r="A4" s="1" t="s">
        <v>2</v>
      </c>
      <c r="B4">
        <v>0.17808219178082191</v>
      </c>
      <c r="C4">
        <v>7.5150300601202411E-2</v>
      </c>
      <c r="D4">
        <v>6.7125645438898457E-2</v>
      </c>
      <c r="E4">
        <v>4.684317718940937E-2</v>
      </c>
    </row>
    <row r="5" spans="1:12" x14ac:dyDescent="0.35">
      <c r="A5" s="1" t="s">
        <v>3</v>
      </c>
      <c r="B5">
        <v>0.50684931506849318</v>
      </c>
      <c r="C5">
        <v>8.0160320641282558E-3</v>
      </c>
      <c r="D5">
        <v>0.117039586919105</v>
      </c>
      <c r="E5">
        <v>2.8513238289205701E-2</v>
      </c>
      <c r="G5" t="s">
        <v>67</v>
      </c>
      <c r="H5">
        <v>0</v>
      </c>
      <c r="I5">
        <v>1</v>
      </c>
      <c r="J5">
        <v>2</v>
      </c>
      <c r="K5">
        <v>3</v>
      </c>
    </row>
    <row r="6" spans="1:12" x14ac:dyDescent="0.35">
      <c r="A6" s="1" t="s">
        <v>4</v>
      </c>
      <c r="B6">
        <v>0.80136986301369861</v>
      </c>
      <c r="C6">
        <v>0</v>
      </c>
      <c r="D6">
        <v>5.1635111876075744E-3</v>
      </c>
      <c r="E6">
        <v>8.5539714867617106E-2</v>
      </c>
      <c r="G6" t="s">
        <v>65</v>
      </c>
      <c r="H6" s="3">
        <f>146/H1</f>
        <v>6.5884476534296035E-2</v>
      </c>
      <c r="I6" s="3">
        <f>998/H1</f>
        <v>0.45036101083032493</v>
      </c>
      <c r="J6" s="3">
        <f>581/H1</f>
        <v>0.26218411552346571</v>
      </c>
      <c r="K6" s="3">
        <f>491/H1</f>
        <v>0.22157039711191337</v>
      </c>
    </row>
    <row r="7" spans="1:12" x14ac:dyDescent="0.35">
      <c r="A7" s="1" t="s">
        <v>5</v>
      </c>
      <c r="B7">
        <v>42.854226027397267</v>
      </c>
      <c r="C7">
        <v>41.963795591182368</v>
      </c>
      <c r="D7">
        <v>50.048192771084338</v>
      </c>
      <c r="E7">
        <v>46.371556008146641</v>
      </c>
      <c r="G7" t="s">
        <v>66</v>
      </c>
      <c r="H7" s="3">
        <f>H15/$L$15</f>
        <v>0.17451446603352591</v>
      </c>
      <c r="I7" s="3">
        <f>I15/$L$15</f>
        <v>6.9385174199403765E-2</v>
      </c>
      <c r="J7" s="3">
        <f>J15/$L$15</f>
        <v>0.30108902270591409</v>
      </c>
      <c r="K7" s="3">
        <f>K15/$L$15</f>
        <v>0.45501133706115621</v>
      </c>
    </row>
    <row r="8" spans="1:12" x14ac:dyDescent="0.35">
      <c r="A8" s="1" t="s">
        <v>6</v>
      </c>
      <c r="B8">
        <v>6.8493150684931503E-3</v>
      </c>
      <c r="C8">
        <v>1.3026052104208419E-2</v>
      </c>
      <c r="D8">
        <v>6.8846815834767636E-3</v>
      </c>
      <c r="E8">
        <v>6.1099796334012219E-3</v>
      </c>
      <c r="H8" t="s">
        <v>38</v>
      </c>
      <c r="I8" t="s">
        <v>44</v>
      </c>
      <c r="J8" t="s">
        <v>44</v>
      </c>
      <c r="K8" t="s">
        <v>44</v>
      </c>
    </row>
    <row r="9" spans="1:12" x14ac:dyDescent="0.35">
      <c r="A9" s="1" t="s">
        <v>7</v>
      </c>
      <c r="B9">
        <v>5598.5068493150684</v>
      </c>
      <c r="C9">
        <v>5585.3126252505008</v>
      </c>
      <c r="D9">
        <v>5550.1308089500862</v>
      </c>
      <c r="E9">
        <v>5636.7433808553969</v>
      </c>
      <c r="H9" t="s">
        <v>39</v>
      </c>
      <c r="I9" t="s">
        <v>45</v>
      </c>
      <c r="J9" t="s">
        <v>52</v>
      </c>
      <c r="K9" t="s">
        <v>58</v>
      </c>
    </row>
    <row r="10" spans="1:12" x14ac:dyDescent="0.35">
      <c r="A10" s="1" t="s">
        <v>8</v>
      </c>
      <c r="B10">
        <v>80405.07534246576</v>
      </c>
      <c r="C10">
        <v>34656.916007014028</v>
      </c>
      <c r="D10">
        <v>56660.556746987953</v>
      </c>
      <c r="E10">
        <v>73343.749490835035</v>
      </c>
      <c r="H10" t="s">
        <v>40</v>
      </c>
      <c r="I10" t="s">
        <v>47</v>
      </c>
      <c r="J10" t="s">
        <v>51</v>
      </c>
      <c r="K10" t="s">
        <v>59</v>
      </c>
    </row>
    <row r="11" spans="1:12" x14ac:dyDescent="0.35">
      <c r="A11" s="1" t="s">
        <v>9</v>
      </c>
      <c r="B11">
        <v>4.1095890410958902E-2</v>
      </c>
      <c r="C11">
        <v>0.79659318637274545</v>
      </c>
      <c r="D11">
        <v>0.26850258175559383</v>
      </c>
      <c r="E11">
        <v>4.4806517311608958E-2</v>
      </c>
      <c r="H11" t="s">
        <v>48</v>
      </c>
      <c r="I11" t="s">
        <v>54</v>
      </c>
      <c r="J11" t="s">
        <v>53</v>
      </c>
      <c r="K11" t="s">
        <v>60</v>
      </c>
    </row>
    <row r="12" spans="1:12" x14ac:dyDescent="0.35">
      <c r="A12" s="1" t="s">
        <v>10</v>
      </c>
      <c r="B12">
        <v>72.61643835616438</v>
      </c>
      <c r="C12">
        <v>7.1482965931863731</v>
      </c>
      <c r="D12">
        <v>26.39414802065404</v>
      </c>
      <c r="E12">
        <v>102.4317718940937</v>
      </c>
      <c r="H12" t="s">
        <v>41</v>
      </c>
      <c r="I12" t="s">
        <v>49</v>
      </c>
      <c r="J12" t="s">
        <v>55</v>
      </c>
      <c r="K12" t="s">
        <v>61</v>
      </c>
    </row>
    <row r="13" spans="1:12" x14ac:dyDescent="0.35">
      <c r="A13" s="1" t="s">
        <v>11</v>
      </c>
      <c r="B13">
        <v>49.554794520547937</v>
      </c>
      <c r="C13">
        <v>4.9038076152304608</v>
      </c>
      <c r="D13">
        <v>19.667814113597249</v>
      </c>
      <c r="E13">
        <v>70.936863543788192</v>
      </c>
      <c r="H13" t="s">
        <v>42</v>
      </c>
      <c r="I13" t="s">
        <v>50</v>
      </c>
      <c r="J13" t="s">
        <v>56</v>
      </c>
      <c r="K13" t="s">
        <v>62</v>
      </c>
    </row>
    <row r="14" spans="1:12" x14ac:dyDescent="0.35">
      <c r="A14" s="1" t="s">
        <v>12</v>
      </c>
      <c r="B14">
        <v>74.513698630136986</v>
      </c>
      <c r="C14">
        <v>15.39707715430862</v>
      </c>
      <c r="D14">
        <v>56.683044750430298</v>
      </c>
      <c r="E14">
        <v>77.614187372708756</v>
      </c>
      <c r="H14" t="s">
        <v>43</v>
      </c>
      <c r="I14" t="s">
        <v>57</v>
      </c>
      <c r="J14" t="s">
        <v>46</v>
      </c>
      <c r="K14" t="s">
        <v>46</v>
      </c>
      <c r="L14" t="s">
        <v>63</v>
      </c>
    </row>
    <row r="15" spans="1:12" x14ac:dyDescent="0.35">
      <c r="A15" s="1" t="s">
        <v>13</v>
      </c>
      <c r="B15">
        <v>449.6917808219178</v>
      </c>
      <c r="C15">
        <v>22.51002004008016</v>
      </c>
      <c r="D15">
        <v>130.21508089500861</v>
      </c>
      <c r="E15">
        <v>414.51308350305499</v>
      </c>
      <c r="G15" t="s">
        <v>64</v>
      </c>
      <c r="H15" s="2">
        <f>146*SUM(B12:B17)</f>
        <v>234211.94299999997</v>
      </c>
      <c r="I15" s="2">
        <f>998*SUM(C12:C17)</f>
        <v>93120.28300000001</v>
      </c>
      <c r="J15" s="2">
        <f>581*SUM(D12:D17)</f>
        <v>404084.81100000005</v>
      </c>
      <c r="K15" s="2">
        <f>491*SUM(E12:E17)</f>
        <v>610660.49</v>
      </c>
      <c r="L15" s="2">
        <f>SUM(H15:K15)</f>
        <v>1342077.527</v>
      </c>
    </row>
    <row r="16" spans="1:12" x14ac:dyDescent="0.35">
      <c r="A16" s="1" t="s">
        <v>14</v>
      </c>
      <c r="B16">
        <v>58.047945205479451</v>
      </c>
      <c r="C16">
        <v>5.0621242484969944</v>
      </c>
      <c r="D16">
        <v>19.497418244406191</v>
      </c>
      <c r="E16">
        <v>71.207739307535647</v>
      </c>
    </row>
    <row r="17" spans="1:7" x14ac:dyDescent="0.35">
      <c r="A17" s="1" t="s">
        <v>15</v>
      </c>
      <c r="B17">
        <v>899.76673287671235</v>
      </c>
      <c r="C17">
        <v>38.285571142284567</v>
      </c>
      <c r="D17">
        <v>443.04130808950089</v>
      </c>
      <c r="E17">
        <v>507.00407331975561</v>
      </c>
    </row>
    <row r="18" spans="1:7" x14ac:dyDescent="0.35">
      <c r="A18" s="1" t="s">
        <v>16</v>
      </c>
      <c r="B18">
        <v>6.006849315068493</v>
      </c>
      <c r="C18">
        <v>0.53106212424849697</v>
      </c>
      <c r="D18">
        <v>2.984509466437177</v>
      </c>
      <c r="E18">
        <v>5.5315682281059066</v>
      </c>
    </row>
    <row r="19" spans="1:7" x14ac:dyDescent="0.35">
      <c r="A19" s="1" t="s">
        <v>17</v>
      </c>
      <c r="B19">
        <v>1.157534246575342</v>
      </c>
      <c r="C19">
        <v>1.9916813627254499</v>
      </c>
      <c r="D19">
        <v>3.932354561101548</v>
      </c>
      <c r="E19">
        <v>1.420704684317718</v>
      </c>
    </row>
    <row r="20" spans="1:7" x14ac:dyDescent="0.35">
      <c r="A20" s="1" t="s">
        <v>18</v>
      </c>
      <c r="B20">
        <v>8.0273972602739718</v>
      </c>
      <c r="C20">
        <v>3.162324649298597</v>
      </c>
      <c r="D20">
        <v>7.4251290877796903</v>
      </c>
      <c r="E20">
        <v>8.5804480651731154</v>
      </c>
    </row>
    <row r="21" spans="1:7" x14ac:dyDescent="0.35">
      <c r="A21" s="1" t="s">
        <v>19</v>
      </c>
      <c r="B21">
        <v>5.5753424657534243</v>
      </c>
      <c r="C21">
        <v>2.0571142284569142</v>
      </c>
      <c r="D21">
        <v>6.2461273666092936</v>
      </c>
      <c r="E21">
        <v>5.1221995926680242</v>
      </c>
      <c r="G21">
        <f>SUM(B12:B17)</f>
        <v>1604.1913904109588</v>
      </c>
    </row>
    <row r="22" spans="1:7" x14ac:dyDescent="0.35">
      <c r="A22" s="1" t="s">
        <v>20</v>
      </c>
      <c r="B22">
        <v>3.5136986301369859</v>
      </c>
      <c r="C22">
        <v>6.4128256513026054</v>
      </c>
      <c r="D22">
        <v>5.9466437177280547</v>
      </c>
      <c r="E22">
        <v>2.826883910386965</v>
      </c>
      <c r="G22">
        <f>SUM(E12:E17)</f>
        <v>1243.707718940937</v>
      </c>
    </row>
    <row r="23" spans="1:7" x14ac:dyDescent="0.35">
      <c r="A23" s="1" t="s">
        <v>21</v>
      </c>
      <c r="B23">
        <v>44.746575342465754</v>
      </c>
      <c r="C23">
        <v>49.364729458917843</v>
      </c>
      <c r="D23">
        <v>47.87263339070568</v>
      </c>
      <c r="E23">
        <v>50.914460285132392</v>
      </c>
    </row>
    <row r="24" spans="1:7" x14ac:dyDescent="0.35">
      <c r="A24" s="1" t="s">
        <v>22</v>
      </c>
      <c r="B24">
        <v>0.73972602739726023</v>
      </c>
      <c r="C24">
        <v>8.5170340681362727E-2</v>
      </c>
      <c r="D24">
        <v>0.12908777969018931</v>
      </c>
      <c r="E24">
        <v>0.1323828920570265</v>
      </c>
    </row>
    <row r="25" spans="1:7" x14ac:dyDescent="0.35">
      <c r="A25" s="1" t="s">
        <v>23</v>
      </c>
      <c r="B25">
        <v>0.16438356164383561</v>
      </c>
      <c r="C25">
        <v>0.43086172344689377</v>
      </c>
      <c r="D25">
        <v>0.93803786574870918</v>
      </c>
      <c r="E25">
        <v>0.24643584521384931</v>
      </c>
    </row>
    <row r="26" spans="1:7" x14ac:dyDescent="0.35">
      <c r="A26" s="1" t="s">
        <v>24</v>
      </c>
      <c r="B26">
        <v>373.65068493150687</v>
      </c>
      <c r="C26">
        <v>317.61523046092191</v>
      </c>
      <c r="D26">
        <v>415.4595524956971</v>
      </c>
      <c r="E26">
        <v>347.22606924643583</v>
      </c>
    </row>
    <row r="27" spans="1:7" x14ac:dyDescent="0.35">
      <c r="A27" s="1" t="s">
        <v>25</v>
      </c>
      <c r="B27">
        <v>3</v>
      </c>
      <c r="C27">
        <v>3</v>
      </c>
      <c r="D27">
        <v>3</v>
      </c>
      <c r="E27">
        <v>3</v>
      </c>
    </row>
    <row r="28" spans="1:7" x14ac:dyDescent="0.35">
      <c r="A28" s="1" t="s">
        <v>26</v>
      </c>
      <c r="B28">
        <v>11</v>
      </c>
      <c r="C28">
        <v>11</v>
      </c>
      <c r="D28">
        <v>11</v>
      </c>
      <c r="E28">
        <v>11</v>
      </c>
    </row>
    <row r="29" spans="1:7" x14ac:dyDescent="0.35">
      <c r="A29" s="1" t="s">
        <v>27</v>
      </c>
      <c r="B29" t="s">
        <v>28</v>
      </c>
      <c r="C29" t="s">
        <v>28</v>
      </c>
      <c r="D29" t="s">
        <v>28</v>
      </c>
      <c r="E29" t="s">
        <v>28</v>
      </c>
    </row>
    <row r="30" spans="1:7" x14ac:dyDescent="0.35">
      <c r="A30" s="1" t="s">
        <v>29</v>
      </c>
      <c r="B30" t="s">
        <v>30</v>
      </c>
      <c r="C30" t="s">
        <v>30</v>
      </c>
      <c r="D30" t="s">
        <v>30</v>
      </c>
      <c r="E30" t="s">
        <v>30</v>
      </c>
    </row>
    <row r="31" spans="1:7" x14ac:dyDescent="0.35">
      <c r="A31" s="1" t="s">
        <v>31</v>
      </c>
      <c r="B31">
        <v>41416</v>
      </c>
      <c r="C31">
        <v>41216</v>
      </c>
      <c r="D31">
        <v>41152</v>
      </c>
      <c r="E31">
        <v>41164</v>
      </c>
    </row>
  </sheetData>
  <phoneticPr fontId="3" type="noConversion"/>
  <conditionalFormatting sqref="A2:E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E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E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E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E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:E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:E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:E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:E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:E1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E1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:E1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E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E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E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:E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:E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E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E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:E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E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E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:E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:E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:E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:E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E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:XFD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XFD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XFD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Tavares</cp:lastModifiedBy>
  <dcterms:created xsi:type="dcterms:W3CDTF">2026-01-21T17:00:36Z</dcterms:created>
  <dcterms:modified xsi:type="dcterms:W3CDTF">2026-01-22T22:47:05Z</dcterms:modified>
</cp:coreProperties>
</file>